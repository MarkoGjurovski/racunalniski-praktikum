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17457\Racunalski-praktikum\racunalniski-praktikum\10-razpredelnice\"/>
    </mc:Choice>
  </mc:AlternateContent>
  <xr:revisionPtr revIDLastSave="0" documentId="13_ncr:1_{613D601C-0F20-414E-A1B1-F66E187EB5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zultati" sheetId="1" r:id="rId1"/>
  </sheets>
  <calcPr calcId="191029"/>
  <pivotCaches>
    <pivotCache cacheId="1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J3" i="1"/>
  <c r="J4" i="1"/>
  <c r="J5" i="1"/>
  <c r="I4" i="1"/>
  <c r="I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<sst xmlns="http://schemas.openxmlformats.org/spreadsheetml/2006/main" count="104" uniqueCount="69">
  <si>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</si>
  <si>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</si>
  <si>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</si>
  <si>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</si>
  <si>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</si>
  <si>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</si>
  <si>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</si>
  <si>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</si>
  <si>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</si>
  <si>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</si>
  <si>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</si>
  <si>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</si>
  <si>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</si>
  <si>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</si>
  <si>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</si>
  <si>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</si>
  <si>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</si>
  <si>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</si>
  <si>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</si>
  <si>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</si>
  <si>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</si>
  <si>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</si>
  <si>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</si>
  <si>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</si>
  <si>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</si>
  <si>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</si>
  <si>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</si>
  <si>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</si>
  <si>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</si>
  <si>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</si>
  <si>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</si>
  <si>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</si>
  <si>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</si>
  <si>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</si>
  <si>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</si>
  <si>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</si>
  <si>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</si>
  <si>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</si>
  <si>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</si>
  <si>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</si>
  <si>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</si>
  <si>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</si>
  <si>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</si>
  <si>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</si>
  <si>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</si>
  <si>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</si>
  <si>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</si>
  <si>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</si>
  <si>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</si>
  <si>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</si>
  <si>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</si>
  <si>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</si>
  <si>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</si>
  <si>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</si>
  <si>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</si>
  <si>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</si>
  <si>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</si>
  <si>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</si>
  <si>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</si>
  <si>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</si>
  <si>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</si>
  <si>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</si>
  <si>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</si>
  <si>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</si>
  <si>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</si>
  <si>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</si>
  <si>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</si>
  <si>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Max of Točke</t>
  </si>
  <si>
    <t>Min of Točke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</si>
</sst>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FF0000"/>
      </font>
    </dxf>
    <dxf>
      <fill>
        <patternFill>
          <bgColor theme="5"/>
        </patternFill>
      </fill>
    </dxf>
    <dxf>
      <font>
        <color rgb="FFFF0000"/>
      </font>
    </dxf>
    <dxf>
      <fill>
        <patternFill>
          <bgColor theme="5"/>
        </patternFill>
      </fill>
    </dxf>
    <dxf>
      <numFmt numFmtId="2" formatCode="0.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[rezultati.xlsx]Rezultati!Skupina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Velikost skupin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'Rezultati'!$I$7</c:f>
              <c:strCache>
                <c:ptCount val="1"/>
                <c:pt idx="0">
                  <c:v>Udeležba</c:v>
                </c:pt>
              </c:strCache>
            </c:strRef>
          </c:tx>
          <c:explosion val="23"/>
          <c:dPt>
            <c:idx val="0"/>
            <c:bubble3D val="0"/>
            <c:explosion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40-4B21-9F1F-1FA7AFD6F482}"/>
              </c:ext>
            </c:extLst>
          </c:dPt>
          <c:dPt>
            <c:idx val="1"/>
            <c:bubble3D val="0"/>
            <c:explosion val="33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40-4B21-9F1F-1FA7AFD6F482}"/>
              </c:ext>
            </c:extLst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C440-4B21-9F1F-1FA7AFD6F4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'Rezultati'!$I$8:$I$10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0-4B21-9F1F-1FA7AFD6F482}"/>
            </c:ext>
          </c:extLst>
        </c:ser>
        <c:ser>
          <c:idx val="1"/>
          <c:order val="1"/>
          <c:tx>
            <c:strRef>
              <c:f>'Rezultati'!$J$7</c:f>
              <c:strCache>
                <c:ptCount val="1"/>
                <c:pt idx="0">
                  <c:v>Povprečje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'Rezultati'!$J$8:$J$10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0-4B21-9F1F-1FA7AFD6F482}"/>
            </c:ext>
          </c:extLst>
        </c:ser>
        <c:ser>
          <c:idx val="2"/>
          <c:order val="2"/>
          <c:tx>
            <c:strRef>
              <c:f>'Rezultati'!$K$7</c:f>
              <c:strCache>
                <c:ptCount val="1"/>
                <c:pt idx="0">
                  <c:v>Max of Točke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'Rezultati'!$K$8:$K$10</c:f>
              <c:numCache>
                <c:formatCode>General</c:formatCode>
                <c:ptCount val="3"/>
                <c:pt idx="0">
                  <c:v>94</c:v>
                </c:pt>
                <c:pt idx="1">
                  <c:v>100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40-4B21-9F1F-1FA7AFD6F482}"/>
            </c:ext>
          </c:extLst>
        </c:ser>
        <c:ser>
          <c:idx val="3"/>
          <c:order val="3"/>
          <c:tx>
            <c:strRef>
              <c:f>'Rezultati'!$L$7</c:f>
              <c:strCache>
                <c:ptCount val="1"/>
                <c:pt idx="0">
                  <c:v>Min of Točke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'Rezultati'!$L$8:$L$10</c:f>
              <c:numCache>
                <c:formatCode>General</c:formatCode>
                <c:ptCount val="3"/>
                <c:pt idx="0">
                  <c:v>34</c:v>
                </c:pt>
                <c:pt idx="1">
                  <c:v>36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40-4B21-9F1F-1FA7AFD6F4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29711322029652"/>
          <c:y val="0.4177146832000791"/>
          <c:w val="0.14581806851029222"/>
          <c:h val="0.27448076285807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 točk</a:t>
            </a:r>
          </a:p>
        </c:rich>
      </c:tx>
      <c:layout>
        <c:manualLayout>
          <c:xMode val="edge"/>
          <c:yMode val="edge"/>
          <c:x val="0.401159667541557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0-463A-BDC6-5F4AB6F939B6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0-463A-BDC6-5F4AB6F93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366863"/>
        <c:axId val="678367279"/>
      </c:barChart>
      <c:catAx>
        <c:axId val="678366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78367279"/>
        <c:crosses val="autoZero"/>
        <c:auto val="1"/>
        <c:lblAlgn val="ctr"/>
        <c:lblOffset val="100"/>
        <c:noMultiLvlLbl val="0"/>
      </c:catAx>
      <c:valAx>
        <c:axId val="67836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67836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3105</xdr:colOff>
      <xdr:row>10</xdr:row>
      <xdr:rowOff>22154</xdr:rowOff>
    </xdr:from>
    <xdr:to>
      <xdr:col>14</xdr:col>
      <xdr:colOff>16565</xdr:colOff>
      <xdr:row>25</xdr:row>
      <xdr:rowOff>179317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4161D7-B078-4739-BFCF-5AF4588D5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567357</xdr:colOff>
      <xdr:row>26</xdr:row>
      <xdr:rowOff>19877</xdr:rowOff>
    </xdr:from>
    <xdr:to>
      <xdr:col>14</xdr:col>
      <xdr:colOff>57977</xdr:colOff>
      <xdr:row>40</xdr:row>
      <xdr:rowOff>96077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5BD564-BBC2-48FD-BF1A-8CFBE8465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jurovski, Marko" refreshedDate="45996.549098379626" createdVersion="7" refreshedVersion="7" minRefreshableVersion="3" recordCount="28" xr:uid="{06A79175-A55D-4135-88CA-B99888850759}">
  <cacheSource type="worksheet">
    <worksheetSource name="Rezultati"/>
  </cacheSource>
  <cacheFields count="5">
    <cacheField name="Priimek" numFmtId="0">
      <sharedItems/>
    </cacheField>
    <cacheField name="Ime" numFmtId="0">
      <sharedItems count="27">
        <s v="Aleksander"/>
        <s v="Alenka"/>
        <s v="Aleš"/>
        <s v="Andraž"/>
        <s v="Andreja"/>
        <s v="Barbara"/>
        <s v="Grega"/>
        <s v="Igor"/>
        <s v="Jaka"/>
        <s v="Janja"/>
        <s v="Katarina"/>
        <s v="Katja"/>
        <s v="Kristina"/>
        <s v="Luka"/>
        <s v="Martin"/>
        <s v="Matej"/>
        <s v="Mateja"/>
        <s v="Matjaž"/>
        <s v="Mojca"/>
        <s v="Petra"/>
        <s v="Polona"/>
        <s v="Primož"/>
        <s v="Sabina"/>
        <s v="Tatjana"/>
        <s v="Tomaž"/>
        <s v="Valerija"/>
        <s v="Vesna"/>
      </sharedItems>
    </cacheField>
    <cacheField name="Skupina" numFmtId="0">
      <sharedItems count="3">
        <s v="A"/>
        <s v="B"/>
        <s v="C"/>
      </sharedItems>
    </cacheField>
    <cacheField name="Točke" numFmtId="0">
      <sharedItems containsSemiMixedTypes="0" containsString="0" containsNumber="1" containsInteger="1" minValue="26" maxValue="100" count="25">
        <n v="34"/>
        <n v="94"/>
        <n v="36"/>
        <n v="38"/>
        <n v="67"/>
        <n v="90"/>
        <n v="85"/>
        <n v="26"/>
        <n v="39"/>
        <n v="46"/>
        <n v="100"/>
        <n v="86"/>
        <n v="93"/>
        <n v="64"/>
        <n v="76"/>
        <n v="42"/>
        <n v="43"/>
        <n v="79"/>
        <n v="44"/>
        <n v="66"/>
        <n v="57"/>
        <n v="58"/>
        <n v="77"/>
        <n v="70"/>
        <n v="30"/>
      </sharedItems>
    </cacheField>
    <cacheField name="Opravil" numFmtId="0">
      <sharedItems count="2">
        <s v="ne"/>
        <s v="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Tekavčič"/>
    <x v="0"/>
    <x v="0"/>
    <x v="0"/>
    <x v="0"/>
  </r>
  <r>
    <s v="Karakaš"/>
    <x v="1"/>
    <x v="0"/>
    <x v="1"/>
    <x v="1"/>
  </r>
  <r>
    <s v="Furlan"/>
    <x v="2"/>
    <x v="1"/>
    <x v="2"/>
    <x v="0"/>
  </r>
  <r>
    <s v="Kofol"/>
    <x v="3"/>
    <x v="2"/>
    <x v="0"/>
    <x v="0"/>
  </r>
  <r>
    <s v="Smrekar"/>
    <x v="4"/>
    <x v="0"/>
    <x v="3"/>
    <x v="0"/>
  </r>
  <r>
    <s v="Kumar"/>
    <x v="5"/>
    <x v="1"/>
    <x v="4"/>
    <x v="1"/>
  </r>
  <r>
    <s v="Kržišnik"/>
    <x v="6"/>
    <x v="1"/>
    <x v="5"/>
    <x v="1"/>
  </r>
  <r>
    <s v="Štemberger"/>
    <x v="7"/>
    <x v="1"/>
    <x v="6"/>
    <x v="1"/>
  </r>
  <r>
    <s v="Karničar"/>
    <x v="8"/>
    <x v="2"/>
    <x v="7"/>
    <x v="0"/>
  </r>
  <r>
    <s v="Cvelbar"/>
    <x v="9"/>
    <x v="1"/>
    <x v="8"/>
    <x v="0"/>
  </r>
  <r>
    <s v="Žveglič"/>
    <x v="10"/>
    <x v="0"/>
    <x v="9"/>
    <x v="0"/>
  </r>
  <r>
    <s v="Jerman"/>
    <x v="11"/>
    <x v="1"/>
    <x v="10"/>
    <x v="1"/>
  </r>
  <r>
    <s v="Korošec"/>
    <x v="12"/>
    <x v="1"/>
    <x v="11"/>
    <x v="1"/>
  </r>
  <r>
    <s v="Furlan"/>
    <x v="13"/>
    <x v="0"/>
    <x v="12"/>
    <x v="1"/>
  </r>
  <r>
    <s v="Pance"/>
    <x v="14"/>
    <x v="1"/>
    <x v="13"/>
    <x v="1"/>
  </r>
  <r>
    <s v="Šubašič"/>
    <x v="15"/>
    <x v="2"/>
    <x v="14"/>
    <x v="1"/>
  </r>
  <r>
    <s v="Logar"/>
    <x v="16"/>
    <x v="0"/>
    <x v="15"/>
    <x v="0"/>
  </r>
  <r>
    <s v="Ribnikar"/>
    <x v="17"/>
    <x v="0"/>
    <x v="16"/>
    <x v="0"/>
  </r>
  <r>
    <s v="Tratnik"/>
    <x v="18"/>
    <x v="1"/>
    <x v="17"/>
    <x v="1"/>
  </r>
  <r>
    <s v="Kočar"/>
    <x v="19"/>
    <x v="1"/>
    <x v="18"/>
    <x v="0"/>
  </r>
  <r>
    <s v="Vesel"/>
    <x v="20"/>
    <x v="2"/>
    <x v="19"/>
    <x v="1"/>
  </r>
  <r>
    <s v="Puncer"/>
    <x v="21"/>
    <x v="0"/>
    <x v="20"/>
    <x v="1"/>
  </r>
  <r>
    <s v="Virant"/>
    <x v="21"/>
    <x v="2"/>
    <x v="21"/>
    <x v="1"/>
  </r>
  <r>
    <s v="Iskra"/>
    <x v="22"/>
    <x v="0"/>
    <x v="22"/>
    <x v="1"/>
  </r>
  <r>
    <s v="Obrenović"/>
    <x v="23"/>
    <x v="2"/>
    <x v="18"/>
    <x v="0"/>
  </r>
  <r>
    <s v="Bezek"/>
    <x v="24"/>
    <x v="1"/>
    <x v="3"/>
    <x v="0"/>
  </r>
  <r>
    <s v="Trček"/>
    <x v="25"/>
    <x v="1"/>
    <x v="23"/>
    <x v="1"/>
  </r>
  <r>
    <s v="Pleterski"/>
    <x v="26"/>
    <x v="2"/>
    <x v="2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14170-22F1-4CC1-8F2B-B370E9AF06BA}" name="Skupina" cacheId="10" applyNumberFormats="0" applyBorderFormats="0" applyFontFormats="0" applyPatternFormats="0" applyAlignmentFormats="0" applyWidthHeightFormats="1" dataCaption="Values" updatedVersion="7" minRefreshableVersion="3" showDataTips="0" useAutoFormatting="1" rowGrandTotals="0" colGrandTotals="0" itemPrintTitles="1" createdVersion="7" indent="0" outline="1" outlineData="1" multipleFieldFilters="0" chartFormat="27" rowHeaderCaption="Skupina">
  <location ref="H7:L10" firstHeaderRow="0" firstDataRow="1" firstDataCol="1"/>
  <pivotFields count="5">
    <pivotField showAll="0"/>
    <pivotField showAll="0"/>
    <pivotField name="Skupina" axis="axisRow" showAll="0">
      <items count="4">
        <item x="0"/>
        <item x="1"/>
        <item x="2"/>
        <item t="default"/>
      </items>
    </pivotField>
    <pivotField dataField="1" showAll="0">
      <items count="26">
        <item x="7"/>
        <item x="24"/>
        <item x="0"/>
        <item x="2"/>
        <item x="3"/>
        <item x="8"/>
        <item x="15"/>
        <item x="16"/>
        <item x="18"/>
        <item x="9"/>
        <item x="20"/>
        <item x="21"/>
        <item x="13"/>
        <item x="19"/>
        <item x="4"/>
        <item x="23"/>
        <item x="14"/>
        <item x="22"/>
        <item x="17"/>
        <item x="6"/>
        <item x="11"/>
        <item x="5"/>
        <item x="12"/>
        <item x="1"/>
        <item x="10"/>
        <item t="default"/>
      </items>
    </pivotField>
    <pivotField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3" subtotal="count" baseField="2" baseItem="0"/>
    <dataField name="Povprečje" fld="3" subtotal="average" baseField="2" baseItem="0" numFmtId="2"/>
    <dataField name="Max of Točke" fld="3" subtotal="max" baseField="2" baseItem="0"/>
    <dataField name="Min of Točke" fld="3" subtotal="min" baseField="2" baseItem="0"/>
  </dataField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C2:C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IF(Rezultati[[#This Row],[Točke]]&lt;50,"ne","da")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5">
      <calculatedColumnFormula>COUNTIF(Rezultati[Skupina],Skupine[[#This Row],[Test]])</calculatedColumnFormula>
    </tableColumn>
    <tableColumn id="3" xr3:uid="{49F9352C-9597-4E44-8122-AF1CE6CE856F}" name="2022" dataDxfId="4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topLeftCell="A16" zoomScale="115" zoomScaleNormal="115" workbookViewId="0">
      <selection activeCell="E39" sqref="E39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3.140625" bestFit="1" customWidth="1"/>
    <col min="9" max="9" width="9.42578125" bestFit="1" customWidth="1"/>
    <col min="10" max="10" width="9.85546875" bestFit="1" customWidth="1"/>
    <col min="11" max="11" width="12.7109375" bestFit="1" customWidth="1"/>
    <col min="12" max="12" width="12.42578125" bestFit="1" customWidth="1"/>
    <col min="13" max="32" width="3" bestFit="1" customWidth="1"/>
    <col min="33" max="33" width="4" bestFit="1" customWidth="1"/>
    <col min="34" max="34" width="11.2851562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56</v>
      </c>
      <c r="C3" t="s">
        <v>57</v>
      </c>
      <c r="D3" t="s">
        <v>9</v>
      </c>
      <c r="E3">
        <v>34</v>
      </c>
      <c r="F3" t="str">
        <f>IF(Rezultati[[#This Row],[Točke]]&lt;50,"ne","da")</f>
        <v>ne</v>
      </c>
      <c r="H3" t="s">
        <v>9</v>
      </c>
      <c r="I3">
        <f>COUNTIF(Rezultati[Skupina],Skupine[[#This Row],[Test]])</f>
        <v>9</v>
      </c>
      <c r="J3" s="2">
        <f>AVERAGEIF(Rezultati[Skupina],Skupine[[#This Row],[Test]],Rezultati[Točke])</f>
        <v>58.222222222222221</v>
      </c>
      <c r="K3">
        <v>66.84</v>
      </c>
    </row>
    <row r="4" spans="2:12" x14ac:dyDescent="0.25">
      <c r="B4" t="s">
        <v>10</v>
      </c>
      <c r="C4" t="s">
        <v>11</v>
      </c>
      <c r="D4" t="s">
        <v>9</v>
      </c>
      <c r="E4">
        <v>94</v>
      </c>
      <c r="F4" t="str">
        <f>IF(Rezultati[[#This Row],[Točke]]&lt;50,"ne","da")</f>
        <v>da</v>
      </c>
      <c r="H4" t="s">
        <v>12</v>
      </c>
      <c r="I4" s="1">
        <f>COUNTIF(Rezultati[Skupina],Skupine[[#This Row],[Test]])</f>
        <v>12</v>
      </c>
      <c r="J4" s="2">
        <f>AVERAGEIF(Rezultati[Skupina],Skupine[[#This Row],[Test]],Rezultati[Točke])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>IF(Rezultati[[#This Row],[Točke]]&lt;50,"ne","da")</f>
        <v>ne</v>
      </c>
      <c r="H5" t="s">
        <v>15</v>
      </c>
      <c r="I5">
        <f>COUNTIF(Rezultati[Skupina],Skupine[[#This Row],[Test]])</f>
        <v>7</v>
      </c>
      <c r="J5" s="2">
        <f>AVERAGEIF(Rezultati[Skupina],Skupine[[#This Row],[Test]],Rezultati[Točke])</f>
        <v>47.714285714285715</v>
      </c>
      <c r="K5">
        <v>49.66</v>
      </c>
    </row>
    <row r="6" spans="2:12" x14ac:dyDescent="0.25">
      <c r="B6" t="s">
        <v>16</v>
      </c>
      <c r="C6" t="s">
        <v>17</v>
      </c>
      <c r="D6" t="s">
        <v>15</v>
      </c>
      <c r="E6">
        <v>34</v>
      </c>
      <c r="F6" t="str">
        <f>IF(Rezultati[[#This Row],[Točke]]&lt;50,"ne","da")</f>
        <v>ne</v>
      </c>
    </row>
    <row r="7" spans="2:12" x14ac:dyDescent="0.25">
      <c r="B7" t="s">
        <v>60</v>
      </c>
      <c r="C7" t="s">
        <v>61</v>
      </c>
      <c r="D7" t="s">
        <v>9</v>
      </c>
      <c r="E7">
        <v>38</v>
      </c>
      <c r="F7" t="str">
        <f>IF(Rezultati[[#This Row],[Točke]]&lt;50,"ne","da")</f>
        <v>ne</v>
      </c>
      <c r="H7" s="3" t="s">
        <v>2</v>
      </c>
      <c r="I7" t="s">
        <v>6</v>
      </c>
      <c r="J7" t="s">
        <v>66</v>
      </c>
      <c r="K7" t="s">
        <v>67</v>
      </c>
      <c r="L7" t="s">
        <v>68</v>
      </c>
    </row>
    <row r="8" spans="2:12" x14ac:dyDescent="0.25">
      <c r="B8" t="s">
        <v>18</v>
      </c>
      <c r="C8" t="s">
        <v>19</v>
      </c>
      <c r="D8" t="s">
        <v>12</v>
      </c>
      <c r="E8">
        <v>67</v>
      </c>
      <c r="F8" t="str">
        <f>IF(Rezultati[[#This Row],[Točke]]&lt;50,"ne","da")</f>
        <v>da</v>
      </c>
      <c r="H8" s="4" t="s">
        <v>9</v>
      </c>
      <c r="I8" s="1">
        <v>9</v>
      </c>
      <c r="J8" s="2">
        <v>58.222222222222221</v>
      </c>
      <c r="K8" s="1">
        <v>94</v>
      </c>
      <c r="L8" s="1">
        <v>34</v>
      </c>
    </row>
    <row r="9" spans="2:12" x14ac:dyDescent="0.25">
      <c r="B9" t="s">
        <v>45</v>
      </c>
      <c r="C9" t="s">
        <v>46</v>
      </c>
      <c r="D9" t="s">
        <v>12</v>
      </c>
      <c r="E9">
        <v>90</v>
      </c>
      <c r="F9" t="str">
        <f>IF(Rezultati[[#This Row],[Točke]]&lt;50,"ne","da")</f>
        <v>da</v>
      </c>
      <c r="H9" s="4" t="s">
        <v>12</v>
      </c>
      <c r="I9" s="1">
        <v>12</v>
      </c>
      <c r="J9" s="2">
        <v>66.5</v>
      </c>
      <c r="K9" s="1">
        <v>100</v>
      </c>
      <c r="L9" s="1">
        <v>36</v>
      </c>
    </row>
    <row r="10" spans="2:12" x14ac:dyDescent="0.25">
      <c r="B10" t="s">
        <v>52</v>
      </c>
      <c r="C10" t="s">
        <v>53</v>
      </c>
      <c r="D10" t="s">
        <v>12</v>
      </c>
      <c r="E10">
        <v>85</v>
      </c>
      <c r="F10" t="str">
        <f>IF(Rezultati[[#This Row],[Točke]]&lt;50,"ne","da")</f>
        <v>da</v>
      </c>
      <c r="H10" s="4" t="s">
        <v>15</v>
      </c>
      <c r="I10" s="1">
        <v>7</v>
      </c>
      <c r="J10" s="2">
        <v>47.714285714285715</v>
      </c>
      <c r="K10" s="1">
        <v>76</v>
      </c>
      <c r="L10" s="1">
        <v>26</v>
      </c>
    </row>
    <row r="11" spans="2:12" x14ac:dyDescent="0.25">
      <c r="B11" t="s">
        <v>41</v>
      </c>
      <c r="C11" t="s">
        <v>42</v>
      </c>
      <c r="D11" t="s">
        <v>15</v>
      </c>
      <c r="E11">
        <v>26</v>
      </c>
      <c r="F11" t="str">
        <f>IF(Rezultati[[#This Row],[Točke]]&lt;50,"ne","da")</f>
        <v>ne</v>
      </c>
    </row>
    <row r="12" spans="2:12" x14ac:dyDescent="0.25">
      <c r="B12" t="s">
        <v>34</v>
      </c>
      <c r="C12" t="s">
        <v>35</v>
      </c>
      <c r="D12" t="s">
        <v>12</v>
      </c>
      <c r="E12">
        <v>39</v>
      </c>
      <c r="F12" t="str">
        <f>IF(Rezultati[[#This Row],[Točke]]&lt;50,"ne","da")</f>
        <v>ne</v>
      </c>
    </row>
    <row r="13" spans="2:12" x14ac:dyDescent="0.25">
      <c r="B13" t="s">
        <v>32</v>
      </c>
      <c r="C13" t="s">
        <v>33</v>
      </c>
      <c r="D13" t="s">
        <v>9</v>
      </c>
      <c r="E13">
        <v>46</v>
      </c>
      <c r="F13" t="str">
        <f>IF(Rezultati[[#This Row],[Točke]]&lt;50,"ne","da")</f>
        <v>ne</v>
      </c>
    </row>
    <row r="14" spans="2:12" x14ac:dyDescent="0.25">
      <c r="B14" t="s">
        <v>39</v>
      </c>
      <c r="C14" t="s">
        <v>40</v>
      </c>
      <c r="D14" t="s">
        <v>12</v>
      </c>
      <c r="E14">
        <v>100</v>
      </c>
      <c r="F14" t="str">
        <f>IF(Rezultati[[#This Row],[Točke]]&lt;50,"ne","da")</f>
        <v>da</v>
      </c>
    </row>
    <row r="15" spans="2:12" x14ac:dyDescent="0.25">
      <c r="B15" t="s">
        <v>43</v>
      </c>
      <c r="C15" t="s">
        <v>44</v>
      </c>
      <c r="D15" t="s">
        <v>12</v>
      </c>
      <c r="E15">
        <v>86</v>
      </c>
      <c r="F15" t="str">
        <f>IF(Rezultati[[#This Row],[Točke]]&lt;50,"ne","da")</f>
        <v>da</v>
      </c>
    </row>
    <row r="16" spans="2:12" x14ac:dyDescent="0.25">
      <c r="B16" t="s">
        <v>7</v>
      </c>
      <c r="C16" t="s">
        <v>8</v>
      </c>
      <c r="D16" t="s">
        <v>9</v>
      </c>
      <c r="E16">
        <v>93</v>
      </c>
      <c r="F16" t="str">
        <f>IF(Rezultati[[#This Row],[Točke]]&lt;50,"ne","da")</f>
        <v>da</v>
      </c>
    </row>
    <row r="17" spans="2:6" x14ac:dyDescent="0.25">
      <c r="B17" t="s">
        <v>22</v>
      </c>
      <c r="C17" t="s">
        <v>23</v>
      </c>
      <c r="D17" t="s">
        <v>12</v>
      </c>
      <c r="E17">
        <v>64</v>
      </c>
      <c r="F17" t="str">
        <f>IF(Rezultati[[#This Row],[Točke]]&lt;50,"ne","da")</f>
        <v>da</v>
      </c>
    </row>
    <row r="18" spans="2:6" x14ac:dyDescent="0.25">
      <c r="B18" t="s">
        <v>54</v>
      </c>
      <c r="C18" t="s">
        <v>55</v>
      </c>
      <c r="D18" t="s">
        <v>15</v>
      </c>
      <c r="E18">
        <v>76</v>
      </c>
      <c r="F18" t="str">
        <f>IF(Rezultati[[#This Row],[Točke]]&lt;50,"ne","da")</f>
        <v>da</v>
      </c>
    </row>
    <row r="19" spans="2:6" x14ac:dyDescent="0.25">
      <c r="B19" t="s">
        <v>20</v>
      </c>
      <c r="C19" t="s">
        <v>21</v>
      </c>
      <c r="D19" t="s">
        <v>9</v>
      </c>
      <c r="E19">
        <v>42</v>
      </c>
      <c r="F19" t="str">
        <f>IF(Rezultati[[#This Row],[Točke]]&lt;50,"ne","da")</f>
        <v>ne</v>
      </c>
    </row>
    <row r="20" spans="2:6" x14ac:dyDescent="0.25">
      <c r="B20" t="s">
        <v>50</v>
      </c>
      <c r="C20" t="s">
        <v>51</v>
      </c>
      <c r="D20" t="s">
        <v>9</v>
      </c>
      <c r="E20">
        <v>43</v>
      </c>
      <c r="F20" t="str">
        <f>IF(Rezultati[[#This Row],[Točke]]&lt;50,"ne","da")</f>
        <v>ne</v>
      </c>
    </row>
    <row r="21" spans="2:6" x14ac:dyDescent="0.25">
      <c r="B21" t="s">
        <v>58</v>
      </c>
      <c r="C21" t="s">
        <v>59</v>
      </c>
      <c r="D21" t="s">
        <v>12</v>
      </c>
      <c r="E21">
        <v>79</v>
      </c>
      <c r="F21" t="str">
        <f>IF(Rezultati[[#This Row],[Točke]]&lt;50,"ne","da")</f>
        <v>da</v>
      </c>
    </row>
    <row r="22" spans="2:6" x14ac:dyDescent="0.25">
      <c r="B22" t="s">
        <v>13</v>
      </c>
      <c r="C22" t="s">
        <v>14</v>
      </c>
      <c r="D22" t="s">
        <v>12</v>
      </c>
      <c r="E22">
        <v>44</v>
      </c>
      <c r="F22" t="str">
        <f>IF(Rezultati[[#This Row],[Točke]]&lt;50,"ne","da")</f>
        <v>ne</v>
      </c>
    </row>
    <row r="23" spans="2:6" x14ac:dyDescent="0.25">
      <c r="B23" t="s">
        <v>30</v>
      </c>
      <c r="C23" t="s">
        <v>31</v>
      </c>
      <c r="D23" t="s">
        <v>15</v>
      </c>
      <c r="E23">
        <v>66</v>
      </c>
      <c r="F23" t="str">
        <f>IF(Rezultati[[#This Row],[Točke]]&lt;50,"ne","da")</f>
        <v>da</v>
      </c>
    </row>
    <row r="24" spans="2:6" x14ac:dyDescent="0.25">
      <c r="B24" t="s">
        <v>49</v>
      </c>
      <c r="C24" t="s">
        <v>29</v>
      </c>
      <c r="D24" t="s">
        <v>9</v>
      </c>
      <c r="E24">
        <v>57</v>
      </c>
      <c r="F24" t="str">
        <f>IF(Rezultati[[#This Row],[Točke]]&lt;50,"ne","da")</f>
        <v>da</v>
      </c>
    </row>
    <row r="25" spans="2:6" x14ac:dyDescent="0.25">
      <c r="B25" t="s">
        <v>28</v>
      </c>
      <c r="C25" t="s">
        <v>29</v>
      </c>
      <c r="D25" t="s">
        <v>15</v>
      </c>
      <c r="E25">
        <v>58</v>
      </c>
      <c r="F25" t="str">
        <f>IF(Rezultati[[#This Row],[Točke]]&lt;50,"ne","da")</f>
        <v>da</v>
      </c>
    </row>
    <row r="26" spans="2:6" x14ac:dyDescent="0.25">
      <c r="B26" t="s">
        <v>37</v>
      </c>
      <c r="C26" t="s">
        <v>38</v>
      </c>
      <c r="D26" t="s">
        <v>9</v>
      </c>
      <c r="E26">
        <v>77</v>
      </c>
      <c r="F26" t="str">
        <f>IF(Rezultati[[#This Row],[Točke]]&lt;50,"ne","da")</f>
        <v>da</v>
      </c>
    </row>
    <row r="27" spans="2:6" x14ac:dyDescent="0.25">
      <c r="B27" t="s">
        <v>47</v>
      </c>
      <c r="C27" t="s">
        <v>48</v>
      </c>
      <c r="D27" t="s">
        <v>15</v>
      </c>
      <c r="E27">
        <v>44</v>
      </c>
      <c r="F27" t="str">
        <f>IF(Rezultati[[#This Row],[Točke]]&lt;50,"ne","da")</f>
        <v>ne</v>
      </c>
    </row>
    <row r="28" spans="2:6" x14ac:dyDescent="0.25">
      <c r="B28" t="s">
        <v>62</v>
      </c>
      <c r="C28" t="s">
        <v>63</v>
      </c>
      <c r="D28" t="s">
        <v>12</v>
      </c>
      <c r="E28">
        <v>38</v>
      </c>
      <c r="F28" t="str">
        <f>IF(Rezultati[[#This Row],[Točke]]&lt;50,"ne","da")</f>
        <v>ne</v>
      </c>
    </row>
    <row r="29" spans="2:6" x14ac:dyDescent="0.25">
      <c r="B29" t="s">
        <v>26</v>
      </c>
      <c r="C29" t="s">
        <v>27</v>
      </c>
      <c r="D29" t="s">
        <v>12</v>
      </c>
      <c r="E29">
        <v>70</v>
      </c>
      <c r="F29" t="str">
        <f>IF(Rezultati[[#This Row],[Točke]]&lt;50,"ne","da")</f>
        <v>da</v>
      </c>
    </row>
    <row r="30" spans="2:6" x14ac:dyDescent="0.25">
      <c r="B30" t="s">
        <v>24</v>
      </c>
      <c r="C30" t="s">
        <v>25</v>
      </c>
      <c r="D30" t="s">
        <v>15</v>
      </c>
      <c r="E30">
        <v>30</v>
      </c>
      <c r="F30" t="str">
        <f>IF(Rezultati[[#This Row],[Točke]]&lt;50,"ne","da")</f>
        <v>ne</v>
      </c>
    </row>
  </sheetData>
  <conditionalFormatting sqref="K17">
    <cfRule type="expression" dxfId="1" priority="3">
      <formula>"IF bigger than 50+$E$2"</formula>
    </cfRule>
  </conditionalFormatting>
  <conditionalFormatting sqref="B3:C30 E3:E30">
    <cfRule type="expression" dxfId="0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Gjurovski, Marko</cp:lastModifiedBy>
  <dcterms:created xsi:type="dcterms:W3CDTF">2007-11-10T02:36:44Z</dcterms:created>
  <dcterms:modified xsi:type="dcterms:W3CDTF">2025-12-05T12:41:58Z</dcterms:modified>
</cp:coreProperties>
</file>